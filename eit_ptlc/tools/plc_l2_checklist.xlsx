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C L2 验收清单" sheetId="1" state="visible" r:id="rId1"/>
  </sheets>
  <definedNames>
    <definedName name="_xlnm._FilterDatabase" localSheetId="0" hidden="1">'PLC L2 验收清单'!$A$3:$I$44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555555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1F3864"/>
      <sz val="12"/>
    </font>
    <font>
      <name val="微软雅黑"/>
      <b val="1"/>
      <sz val="10"/>
    </font>
    <font>
      <name val="微软雅黑"/>
      <b val="1"/>
      <color rgb="001F3864"/>
      <sz val="18"/>
    </font>
    <font>
      <name val="微软雅黑"/>
      <sz val="9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F2DCDB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B0B0B0"/>
      </left>
      <right style="thin">
        <color rgb="00B0B0B0"/>
      </right>
      <top style="medium">
        <color rgb="00808080"/>
      </top>
      <bottom style="thin">
        <color rgb="00B0B0B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K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8" customWidth="1" min="4" max="4"/>
    <col width="32" customWidth="1" min="5" max="5"/>
    <col width="34" customWidth="1" min="6" max="6"/>
    <col width="12" customWidth="1" min="7" max="7"/>
    <col width="28" customWidth="1" min="8" max="8"/>
    <col width="24" customWidth="1" min="9" max="9"/>
  </cols>
  <sheetData>
    <row r="1" ht="32" customHeight="1">
      <c r="A1" s="1" t="inlineStr">
        <is>
          <t>PLC L2 原子动作真机验收检查表</t>
        </is>
      </c>
    </row>
    <row r="2" ht="24" customHeight="1">
      <c r="A2" s="2" t="inlineStr">
        <is>
          <t>测试日期: ___________    测试人: ___________    PLC地址: ___________    控制模式: ___________</t>
        </is>
      </c>
    </row>
    <row r="3" ht="28" customHeight="1">
      <c r="A3" s="3" t="inlineStr">
        <is>
          <t>序号</t>
        </is>
      </c>
      <c r="B3" s="3" t="inlineStr">
        <is>
          <t>工位</t>
        </is>
      </c>
      <c r="C3" s="3" t="inlineStr">
        <is>
          <t>动作名</t>
        </is>
      </c>
      <c r="D3" s="3" t="inlineStr">
        <is>
          <t>动作码</t>
        </is>
      </c>
      <c r="E3" s="3" t="inlineStr">
        <is>
          <t>中文说明</t>
        </is>
      </c>
      <c r="F3" s="3" t="inlineStr">
        <is>
          <t>参数</t>
        </is>
      </c>
      <c r="G3" s="3" t="inlineStr">
        <is>
          <t>测试状态</t>
        </is>
      </c>
      <c r="H3" s="3" t="inlineStr">
        <is>
          <t>问题描述</t>
        </is>
      </c>
      <c r="I3" s="3" t="inlineStr">
        <is>
          <t>备注</t>
        </is>
      </c>
    </row>
    <row r="4" ht="22" customHeight="1">
      <c r="A4" s="4" t="n">
        <v>1</v>
      </c>
      <c r="B4" s="4" t="inlineStr">
        <is>
          <t>上样点样</t>
        </is>
      </c>
      <c r="C4" s="5" t="inlineStr">
        <is>
          <t>sampling.init</t>
        </is>
      </c>
      <c r="D4" s="4" t="n">
        <v>10</v>
      </c>
      <c r="E4" s="5" t="inlineStr">
        <is>
          <t>上样-初始化</t>
        </is>
      </c>
      <c r="F4" s="5" t="inlineStr">
        <is>
          <t>无</t>
        </is>
      </c>
      <c r="G4" s="4" t="inlineStr">
        <is>
          <t>待测试</t>
        </is>
      </c>
      <c r="H4" s="5" t="inlineStr"/>
      <c r="I4" s="5" t="inlineStr"/>
    </row>
    <row r="5" ht="22" customHeight="1">
      <c r="A5" s="4" t="n">
        <v>2</v>
      </c>
      <c r="B5" s="4" t="inlineStr">
        <is>
          <t>上样点样</t>
        </is>
      </c>
      <c r="C5" s="5" t="inlineStr">
        <is>
          <t>sampling.clean</t>
        </is>
      </c>
      <c r="D5" s="4" t="n">
        <v>20</v>
      </c>
      <c r="E5" s="5" t="inlineStr">
        <is>
          <t>上样-清洗(注射泵循环)</t>
        </is>
      </c>
      <c r="F5" s="5" t="inlineStr">
        <is>
          <t>无</t>
        </is>
      </c>
      <c r="G5" s="4" t="inlineStr">
        <is>
          <t>待测试</t>
        </is>
      </c>
      <c r="H5" s="5" t="inlineStr"/>
      <c r="I5" s="5" t="inlineStr"/>
    </row>
    <row r="6" ht="22" customHeight="1">
      <c r="A6" s="4" t="n">
        <v>3</v>
      </c>
      <c r="B6" s="4" t="inlineStr">
        <is>
          <t>上样点样</t>
        </is>
      </c>
      <c r="C6" s="5" t="inlineStr">
        <is>
          <t>sampling.place_axis</t>
        </is>
      </c>
      <c r="D6" s="4" t="n">
        <v>31</v>
      </c>
      <c r="E6" s="5" t="inlineStr">
        <is>
          <t>上样-放板移轴(7Y到放板位)</t>
        </is>
      </c>
      <c r="F6" s="5" t="inlineStr">
        <is>
          <t>无</t>
        </is>
      </c>
      <c r="G6" s="4" t="inlineStr">
        <is>
          <t>待测试</t>
        </is>
      </c>
      <c r="H6" s="5" t="inlineStr"/>
      <c r="I6" s="5" t="inlineStr"/>
    </row>
    <row r="7" ht="22" customHeight="1">
      <c r="A7" s="4" t="n">
        <v>4</v>
      </c>
      <c r="B7" s="4" t="inlineStr">
        <is>
          <t>上样点样</t>
        </is>
      </c>
      <c r="C7" s="5" t="inlineStr">
        <is>
          <t>sampling.place_locate</t>
        </is>
      </c>
      <c r="D7" s="4" t="n">
        <v>32</v>
      </c>
      <c r="E7" s="5" t="inlineStr">
        <is>
          <t>上样-放板定位(定位夹紧)</t>
        </is>
      </c>
      <c r="F7" s="5" t="inlineStr">
        <is>
          <t>无</t>
        </is>
      </c>
      <c r="G7" s="4" t="inlineStr">
        <is>
          <t>待测试</t>
        </is>
      </c>
      <c r="H7" s="5" t="inlineStr"/>
      <c r="I7" s="5" t="inlineStr"/>
    </row>
    <row r="8" ht="22" customHeight="1">
      <c r="A8" s="4" t="n">
        <v>5</v>
      </c>
      <c r="B8" s="4" t="inlineStr">
        <is>
          <t>上样点样</t>
        </is>
      </c>
      <c r="C8" s="5" t="inlineStr">
        <is>
          <t>sampling.prep</t>
        </is>
      </c>
      <c r="D8" s="4" t="n">
        <v>40</v>
      </c>
      <c r="E8" s="5" t="inlineStr">
        <is>
          <t>上样-上样准备(Z回零+泵准备)</t>
        </is>
      </c>
      <c r="F8" s="5" t="inlineStr">
        <is>
          <t>无</t>
        </is>
      </c>
      <c r="G8" s="4" t="inlineStr">
        <is>
          <t>待测试</t>
        </is>
      </c>
      <c r="H8" s="5" t="inlineStr"/>
      <c r="I8" s="5" t="inlineStr"/>
    </row>
    <row r="9" ht="22" customHeight="1">
      <c r="A9" s="4" t="n">
        <v>6</v>
      </c>
      <c r="B9" s="4" t="inlineStr">
        <is>
          <t>上样点样</t>
        </is>
      </c>
      <c r="C9" s="5" t="inlineStr">
        <is>
          <t>sampling.aspirate</t>
        </is>
      </c>
      <c r="D9" s="4" t="n">
        <v>50</v>
      </c>
      <c r="E9" s="5" t="inlineStr">
        <is>
          <t>上样-吸收液体</t>
        </is>
      </c>
      <c r="F9" s="5" t="inlineStr">
        <is>
          <t>plate_spec/plate_no/well, sample_volume_ml</t>
        </is>
      </c>
      <c r="G9" s="4" t="inlineStr">
        <is>
          <t>待测试</t>
        </is>
      </c>
      <c r="H9" s="5" t="inlineStr"/>
      <c r="I9" s="5" t="inlineStr"/>
    </row>
    <row r="10" ht="22" customHeight="1">
      <c r="A10" s="4" t="n">
        <v>7</v>
      </c>
      <c r="B10" s="4" t="inlineStr">
        <is>
          <t>上样点样</t>
        </is>
      </c>
      <c r="C10" s="5" t="inlineStr">
        <is>
          <t>sampling.rinse_mix</t>
        </is>
      </c>
      <c r="D10" s="4" t="n">
        <v>55</v>
      </c>
      <c r="E10" s="5" t="inlineStr">
        <is>
          <t>上样-加润洗液+吹打混匀</t>
        </is>
      </c>
      <c r="F10" s="5" t="inlineStr">
        <is>
          <t>plate_spec/plate_no/well, rinse_volume_ml, mix_volume_ml, mix_count</t>
        </is>
      </c>
      <c r="G10" s="4" t="inlineStr">
        <is>
          <t>待测试</t>
        </is>
      </c>
      <c r="H10" s="5" t="inlineStr"/>
      <c r="I10" s="5" t="inlineStr"/>
    </row>
    <row r="11" ht="22" customHeight="1">
      <c r="A11" s="4" t="n">
        <v>8</v>
      </c>
      <c r="B11" s="4" t="inlineStr">
        <is>
          <t>上样点样</t>
        </is>
      </c>
      <c r="C11" s="5" t="inlineStr">
        <is>
          <t>sampling.spot</t>
        </is>
      </c>
      <c r="D11" s="4" t="n">
        <v>60</v>
      </c>
      <c r="E11" s="5" t="inlineStr">
        <is>
          <t>上样-点样</t>
        </is>
      </c>
      <c r="F11" s="5" t="inlineStr">
        <is>
          <t>无</t>
        </is>
      </c>
      <c r="G11" s="4" t="inlineStr">
        <is>
          <t>待测试</t>
        </is>
      </c>
      <c r="H11" s="5" t="inlineStr"/>
      <c r="I11" s="5" t="inlineStr"/>
    </row>
    <row r="12" ht="22" customHeight="1">
      <c r="A12" s="6" t="n">
        <v>9</v>
      </c>
      <c r="B12" s="6" t="inlineStr">
        <is>
          <t>收集</t>
        </is>
      </c>
      <c r="C12" s="7" t="inlineStr">
        <is>
          <t>collect.init</t>
        </is>
      </c>
      <c r="D12" s="6" t="n">
        <v>10</v>
      </c>
      <c r="E12" s="7" t="inlineStr">
        <is>
          <t>收集-初始化(复位气缸/阀+泵初始化)</t>
        </is>
      </c>
      <c r="F12" s="7" t="inlineStr">
        <is>
          <t>无</t>
        </is>
      </c>
      <c r="G12" s="6" t="inlineStr">
        <is>
          <t>待测试</t>
        </is>
      </c>
      <c r="H12" s="7" t="inlineStr"/>
      <c r="I12" s="7" t="inlineStr"/>
    </row>
    <row r="13" ht="22" customHeight="1">
      <c r="A13" s="8" t="n">
        <v>10</v>
      </c>
      <c r="B13" s="8" t="inlineStr">
        <is>
          <t>收集</t>
        </is>
      </c>
      <c r="C13" s="9" t="inlineStr">
        <is>
          <t>collect.clamp</t>
        </is>
      </c>
      <c r="D13" s="8" t="n">
        <v>21</v>
      </c>
      <c r="E13" s="9" t="inlineStr">
        <is>
          <t>收集-夹持气缸夹紧</t>
        </is>
      </c>
      <c r="F13" s="9" t="inlineStr">
        <is>
          <t>无</t>
        </is>
      </c>
      <c r="G13" s="8" t="inlineStr">
        <is>
          <t>待测试</t>
        </is>
      </c>
      <c r="H13" s="9" t="inlineStr"/>
      <c r="I13" s="9" t="inlineStr"/>
    </row>
    <row r="14" ht="22" customHeight="1">
      <c r="A14" s="8" t="n">
        <v>11</v>
      </c>
      <c r="B14" s="8" t="inlineStr">
        <is>
          <t>收集</t>
        </is>
      </c>
      <c r="C14" s="9" t="inlineStr">
        <is>
          <t>collect.extend</t>
        </is>
      </c>
      <c r="D14" s="8" t="n">
        <v>22</v>
      </c>
      <c r="E14" s="9" t="inlineStr">
        <is>
          <t>收集-伸缩气缸伸出</t>
        </is>
      </c>
      <c r="F14" s="9" t="inlineStr">
        <is>
          <t>无</t>
        </is>
      </c>
      <c r="G14" s="8" t="inlineStr">
        <is>
          <t>待测试</t>
        </is>
      </c>
      <c r="H14" s="9" t="inlineStr"/>
      <c r="I14" s="9" t="inlineStr"/>
    </row>
    <row r="15" ht="22" customHeight="1">
      <c r="A15" s="8" t="n">
        <v>12</v>
      </c>
      <c r="B15" s="8" t="inlineStr">
        <is>
          <t>收集</t>
        </is>
      </c>
      <c r="C15" s="9" t="inlineStr">
        <is>
          <t>collect.lift_press</t>
        </is>
      </c>
      <c r="D15" s="8" t="n">
        <v>23</v>
      </c>
      <c r="E15" s="9" t="inlineStr">
        <is>
          <t>收集-缩回/升降/下压(缺瓶报错201)</t>
        </is>
      </c>
      <c r="F15" s="9" t="inlineStr">
        <is>
          <t>无</t>
        </is>
      </c>
      <c r="G15" s="8" t="inlineStr">
        <is>
          <t>待测试</t>
        </is>
      </c>
      <c r="H15" s="9" t="inlineStr"/>
      <c r="I15" s="9" t="inlineStr"/>
    </row>
    <row r="16" ht="22" customHeight="1">
      <c r="A16" s="8" t="n">
        <v>13</v>
      </c>
      <c r="B16" s="8" t="inlineStr">
        <is>
          <t>收集</t>
        </is>
      </c>
      <c r="C16" s="9" t="inlineStr">
        <is>
          <t>collect.collect</t>
        </is>
      </c>
      <c r="D16" s="8" t="n">
        <v>30</v>
      </c>
      <c r="E16" s="9" t="inlineStr">
        <is>
          <t>收集-加液/排液洗脱循环</t>
        </is>
      </c>
      <c r="F16" s="9" t="inlineStr">
        <is>
          <t>无</t>
        </is>
      </c>
      <c r="G16" s="8" t="inlineStr">
        <is>
          <t>待测试</t>
        </is>
      </c>
      <c r="H16" s="9" t="inlineStr"/>
      <c r="I16" s="9" t="inlineStr"/>
    </row>
    <row r="17" ht="22" customHeight="1">
      <c r="A17" s="8" t="n">
        <v>14</v>
      </c>
      <c r="B17" s="8" t="inlineStr">
        <is>
          <t>收集</t>
        </is>
      </c>
      <c r="C17" s="9" t="inlineStr">
        <is>
          <t>collect.transport_extend</t>
        </is>
      </c>
      <c r="D17" s="8" t="n">
        <v>41</v>
      </c>
      <c r="E17" s="9" t="inlineStr">
        <is>
          <t>收集-复位下压升降+伸缩伸出</t>
        </is>
      </c>
      <c r="F17" s="9" t="inlineStr">
        <is>
          <t>无</t>
        </is>
      </c>
      <c r="G17" s="8" t="inlineStr">
        <is>
          <t>待测试</t>
        </is>
      </c>
      <c r="H17" s="9" t="inlineStr"/>
      <c r="I17" s="9" t="inlineStr"/>
    </row>
    <row r="18" ht="22" customHeight="1">
      <c r="A18" s="8" t="n">
        <v>15</v>
      </c>
      <c r="B18" s="8" t="inlineStr">
        <is>
          <t>收集</t>
        </is>
      </c>
      <c r="C18" s="9" t="inlineStr">
        <is>
          <t>collect.retract</t>
        </is>
      </c>
      <c r="D18" s="8" t="n">
        <v>42</v>
      </c>
      <c r="E18" s="9" t="inlineStr">
        <is>
          <t>收集-伸缩缩回</t>
        </is>
      </c>
      <c r="F18" s="9" t="inlineStr">
        <is>
          <t>无</t>
        </is>
      </c>
      <c r="G18" s="8" t="inlineStr">
        <is>
          <t>待测试</t>
        </is>
      </c>
      <c r="H18" s="9" t="inlineStr"/>
      <c r="I18" s="9" t="inlineStr"/>
    </row>
    <row r="19" ht="22" customHeight="1">
      <c r="A19" s="8" t="n">
        <v>16</v>
      </c>
      <c r="B19" s="8" t="inlineStr">
        <is>
          <t>收集</t>
        </is>
      </c>
      <c r="C19" s="9" t="inlineStr">
        <is>
          <t>collect.release_clamp</t>
        </is>
      </c>
      <c r="D19" s="8" t="n">
        <v>43</v>
      </c>
      <c r="E19" s="9" t="inlineStr">
        <is>
          <t>收集-松夹持</t>
        </is>
      </c>
      <c r="F19" s="9" t="inlineStr">
        <is>
          <t>无</t>
        </is>
      </c>
      <c r="G19" s="8" t="inlineStr">
        <is>
          <t>待测试</t>
        </is>
      </c>
      <c r="H19" s="9" t="inlineStr"/>
      <c r="I19" s="9" t="inlineStr"/>
    </row>
    <row r="20" ht="22" customHeight="1">
      <c r="A20" s="10" t="n">
        <v>17</v>
      </c>
      <c r="B20" s="10" t="inlineStr">
        <is>
          <t>展缸</t>
        </is>
      </c>
      <c r="C20" s="11" t="inlineStr">
        <is>
          <t>develop.init</t>
        </is>
      </c>
      <c r="D20" s="10" t="n">
        <v>10</v>
      </c>
      <c r="E20" s="11" t="inlineStr">
        <is>
          <t>展缸-初始化</t>
        </is>
      </c>
      <c r="F20" s="11" t="inlineStr">
        <is>
          <t>Expand_Target_Tank:int[1..8]</t>
        </is>
      </c>
      <c r="G20" s="10" t="inlineStr">
        <is>
          <t>待测试</t>
        </is>
      </c>
      <c r="H20" s="11" t="inlineStr"/>
      <c r="I20" s="11" t="inlineStr"/>
    </row>
    <row r="21" ht="22" customHeight="1">
      <c r="A21" s="12" t="n">
        <v>18</v>
      </c>
      <c r="B21" s="12" t="inlineStr">
        <is>
          <t>展缸</t>
        </is>
      </c>
      <c r="C21" s="13" t="inlineStr">
        <is>
          <t>develop.clean_line</t>
        </is>
      </c>
      <c r="D21" s="12" t="n">
        <v>20</v>
      </c>
      <c r="E21" s="13" t="inlineStr">
        <is>
          <t>展缸-清洗管路(上位机括真空)</t>
        </is>
      </c>
      <c r="F21" s="13" t="inlineStr">
        <is>
          <t>Expand_Target_Tank:int[1..8]</t>
        </is>
      </c>
      <c r="G21" s="12" t="inlineStr">
        <is>
          <t>待测试</t>
        </is>
      </c>
      <c r="H21" s="13" t="inlineStr"/>
      <c r="I21" s="13" t="inlineStr"/>
    </row>
    <row r="22" ht="22" customHeight="1">
      <c r="A22" s="12" t="n">
        <v>19</v>
      </c>
      <c r="B22" s="12" t="inlineStr">
        <is>
          <t>展缸</t>
        </is>
      </c>
      <c r="C22" s="13" t="inlineStr">
        <is>
          <t>develop.rinse_fill</t>
        </is>
      </c>
      <c r="D22" s="12" t="n">
        <v>21</v>
      </c>
      <c r="E22" s="13" t="inlineStr">
        <is>
          <t>展缸-润洗注液(无真空)</t>
        </is>
      </c>
      <c r="F22" s="13" t="inlineStr">
        <is>
          <t>Expand_Target_Tank:int[1..8]</t>
        </is>
      </c>
      <c r="G22" s="12" t="inlineStr">
        <is>
          <t>待测试</t>
        </is>
      </c>
      <c r="H22" s="13" t="inlineStr"/>
      <c r="I22" s="13" t="inlineStr"/>
    </row>
    <row r="23" ht="22" customHeight="1">
      <c r="A23" s="12" t="n">
        <v>20</v>
      </c>
      <c r="B23" s="12" t="inlineStr">
        <is>
          <t>展缸</t>
        </is>
      </c>
      <c r="C23" s="13" t="inlineStr">
        <is>
          <t>develop.rinse_suction</t>
        </is>
      </c>
      <c r="D23" s="12" t="n">
        <v>26</v>
      </c>
      <c r="E23" s="13" t="inlineStr">
        <is>
          <t>展缸-润洗抽吸(上位机括真空)</t>
        </is>
      </c>
      <c r="F23" s="13" t="inlineStr">
        <is>
          <t>Expand_Target_Tank:int[1..8]</t>
        </is>
      </c>
      <c r="G23" s="12" t="inlineStr">
        <is>
          <t>待测试</t>
        </is>
      </c>
      <c r="H23" s="13" t="inlineStr"/>
      <c r="I23" s="13" t="inlineStr"/>
    </row>
    <row r="24" ht="22" customHeight="1">
      <c r="A24" s="12" t="n">
        <v>21</v>
      </c>
      <c r="B24" s="12" t="inlineStr">
        <is>
          <t>展缸</t>
        </is>
      </c>
      <c r="C24" s="13" t="inlineStr">
        <is>
          <t>develop.fill</t>
        </is>
      </c>
      <c r="D24" s="12" t="n">
        <v>22</v>
      </c>
      <c r="E24" s="13" t="inlineStr">
        <is>
          <t>展缸-上液</t>
        </is>
      </c>
      <c r="F24" s="13" t="inlineStr">
        <is>
          <t>Expand_Target_Tank:int[1..8]</t>
        </is>
      </c>
      <c r="G24" s="12" t="inlineStr">
        <is>
          <t>待测试</t>
        </is>
      </c>
      <c r="H24" s="13" t="inlineStr"/>
      <c r="I24" s="13" t="inlineStr"/>
    </row>
    <row r="25" ht="22" customHeight="1">
      <c r="A25" s="12" t="n">
        <v>22</v>
      </c>
      <c r="B25" s="12" t="inlineStr">
        <is>
          <t>展缸</t>
        </is>
      </c>
      <c r="C25" s="13" t="inlineStr">
        <is>
          <t>develop.drain</t>
        </is>
      </c>
      <c r="D25" s="12" t="n">
        <v>50</v>
      </c>
      <c r="E25" s="13" t="inlineStr">
        <is>
          <t>展缸-排液闭环(Tank_State=99)</t>
        </is>
      </c>
      <c r="F25" s="13" t="inlineStr">
        <is>
          <t>Expand_Target_Tank:int[1..8]</t>
        </is>
      </c>
      <c r="G25" s="12" t="inlineStr">
        <is>
          <t>待测试</t>
        </is>
      </c>
      <c r="H25" s="13" t="inlineStr"/>
      <c r="I25" s="13" t="inlineStr"/>
    </row>
    <row r="26" ht="22" customHeight="1">
      <c r="A26" s="12" t="n">
        <v>23</v>
      </c>
      <c r="B26" s="12" t="inlineStr">
        <is>
          <t>展缸</t>
        </is>
      </c>
      <c r="C26" s="13" t="inlineStr">
        <is>
          <t>develop.release_tank</t>
        </is>
      </c>
      <c r="D26" s="12" t="n">
        <v>51</v>
      </c>
      <c r="E26" s="13" t="inlineStr">
        <is>
          <t>展缸-取板后释放缸状态</t>
        </is>
      </c>
      <c r="F26" s="13" t="inlineStr">
        <is>
          <t>Expand_Target_Tank:int[1..8]</t>
        </is>
      </c>
      <c r="G26" s="12" t="inlineStr">
        <is>
          <t>待测试</t>
        </is>
      </c>
      <c r="H26" s="13" t="inlineStr"/>
      <c r="I26" s="13" t="inlineStr"/>
    </row>
    <row r="27" ht="22" customHeight="1">
      <c r="A27" s="12" t="n">
        <v>24</v>
      </c>
      <c r="B27" s="12" t="inlineStr">
        <is>
          <t>展缸</t>
        </is>
      </c>
      <c r="C27" s="13" t="inlineStr">
        <is>
          <t>develop.plate_retract</t>
        </is>
      </c>
      <c r="D27" s="12" t="n">
        <v>31</v>
      </c>
      <c r="E27" s="13" t="inlineStr">
        <is>
          <t>展缸-放板缸回原点</t>
        </is>
      </c>
      <c r="F27" s="13" t="inlineStr">
        <is>
          <t>Expand_Target_Tank:int[1..8]</t>
        </is>
      </c>
      <c r="G27" s="12" t="inlineStr">
        <is>
          <t>待测试</t>
        </is>
      </c>
      <c r="H27" s="13" t="inlineStr"/>
      <c r="I27" s="13" t="inlineStr"/>
    </row>
    <row r="28" ht="22" customHeight="1">
      <c r="A28" s="12" t="n">
        <v>25</v>
      </c>
      <c r="B28" s="12" t="inlineStr">
        <is>
          <t>展缸</t>
        </is>
      </c>
      <c r="C28" s="13" t="inlineStr">
        <is>
          <t>develop.plate_extend</t>
        </is>
      </c>
      <c r="D28" s="12" t="n">
        <v>32</v>
      </c>
      <c r="E28" s="13" t="inlineStr">
        <is>
          <t>展缸-放板缸到动点</t>
        </is>
      </c>
      <c r="F28" s="13" t="inlineStr">
        <is>
          <t>Expand_Target_Tank:int[1..8]</t>
        </is>
      </c>
      <c r="G28" s="12" t="inlineStr">
        <is>
          <t>待测试</t>
        </is>
      </c>
      <c r="H28" s="13" t="inlineStr"/>
      <c r="I28" s="13" t="inlineStr"/>
    </row>
    <row r="29" ht="22" customHeight="1">
      <c r="A29" s="14" t="n">
        <v>26</v>
      </c>
      <c r="B29" s="14" t="inlineStr">
        <is>
          <t>拍照刮板</t>
        </is>
      </c>
      <c r="C29" s="15" t="inlineStr">
        <is>
          <t>photoscrape.init</t>
        </is>
      </c>
      <c r="D29" s="14" t="n">
        <v>10</v>
      </c>
      <c r="E29" s="15" t="inlineStr">
        <is>
          <t>拍照刮板-初始化</t>
        </is>
      </c>
      <c r="F29" s="15" t="inlineStr">
        <is>
          <t>无</t>
        </is>
      </c>
      <c r="G29" s="14" t="inlineStr">
        <is>
          <t>待测试</t>
        </is>
      </c>
      <c r="H29" s="15" t="inlineStr"/>
      <c r="I29" s="15" t="inlineStr"/>
    </row>
    <row r="30" ht="22" customHeight="1">
      <c r="A30" s="16" t="n">
        <v>27</v>
      </c>
      <c r="B30" s="16" t="inlineStr">
        <is>
          <t>拍照刮板</t>
        </is>
      </c>
      <c r="C30" s="17" t="inlineStr">
        <is>
          <t>photoscrape.cam_x335</t>
        </is>
      </c>
      <c r="D30" s="16" t="n">
        <v>31</v>
      </c>
      <c r="E30" s="17" t="inlineStr">
        <is>
          <t>拍照-刮板X到放板位335</t>
        </is>
      </c>
      <c r="F30" s="17" t="inlineStr">
        <is>
          <t>无</t>
        </is>
      </c>
      <c r="G30" s="16" t="inlineStr">
        <is>
          <t>待测试</t>
        </is>
      </c>
      <c r="H30" s="17" t="inlineStr"/>
      <c r="I30" s="17" t="inlineStr"/>
    </row>
    <row r="31" ht="22" customHeight="1">
      <c r="A31" s="16" t="n">
        <v>28</v>
      </c>
      <c r="B31" s="16" t="inlineStr">
        <is>
          <t>拍照刮板</t>
        </is>
      </c>
      <c r="C31" s="17" t="inlineStr">
        <is>
          <t>photoscrape.cam_locate</t>
        </is>
      </c>
      <c r="D31" s="16" t="n">
        <v>32</v>
      </c>
      <c r="E31" s="17" t="inlineStr">
        <is>
          <t>拍照-定位气缸夹紧</t>
        </is>
      </c>
      <c r="F31" s="17" t="inlineStr">
        <is>
          <t>无</t>
        </is>
      </c>
      <c r="G31" s="16" t="inlineStr">
        <is>
          <t>待测试</t>
        </is>
      </c>
      <c r="H31" s="17" t="inlineStr"/>
      <c r="I31" s="17" t="inlineStr"/>
    </row>
    <row r="32" ht="22" customHeight="1">
      <c r="A32" s="16" t="n">
        <v>29</v>
      </c>
      <c r="B32" s="16" t="inlineStr">
        <is>
          <t>拍照刮板</t>
        </is>
      </c>
      <c r="C32" s="17" t="inlineStr">
        <is>
          <t>photoscrape.cam_press</t>
        </is>
      </c>
      <c r="D32" s="16" t="n">
        <v>33</v>
      </c>
      <c r="E32" s="17" t="inlineStr">
        <is>
          <t>拍照-下压气缸压下</t>
        </is>
      </c>
      <c r="F32" s="17" t="inlineStr">
        <is>
          <t>无</t>
        </is>
      </c>
      <c r="G32" s="16" t="inlineStr">
        <is>
          <t>待测试</t>
        </is>
      </c>
      <c r="H32" s="17" t="inlineStr"/>
      <c r="I32" s="17" t="inlineStr"/>
    </row>
    <row r="33" ht="22" customHeight="1">
      <c r="A33" s="16" t="n">
        <v>30</v>
      </c>
      <c r="B33" s="16" t="inlineStr">
        <is>
          <t>拍照刮板</t>
        </is>
      </c>
      <c r="C33" s="17" t="inlineStr">
        <is>
          <t>photoscrape.cam_photopos</t>
        </is>
      </c>
      <c r="D33" s="16" t="n">
        <v>34</v>
      </c>
      <c r="E33" s="17" t="inlineStr">
        <is>
          <t>拍照-移相机位+遮光下(就绪待拍)</t>
        </is>
      </c>
      <c r="F33" s="17" t="inlineStr">
        <is>
          <t>无</t>
        </is>
      </c>
      <c r="G33" s="16" t="inlineStr">
        <is>
          <t>待测试</t>
        </is>
      </c>
      <c r="H33" s="17" t="inlineStr"/>
      <c r="I33" s="17" t="inlineStr"/>
    </row>
    <row r="34" ht="22" customHeight="1">
      <c r="A34" s="16" t="n">
        <v>31</v>
      </c>
      <c r="B34" s="16" t="inlineStr">
        <is>
          <t>拍照刮板</t>
        </is>
      </c>
      <c r="C34" s="17" t="inlineStr">
        <is>
          <t>photoscrape.cam_photohome</t>
        </is>
      </c>
      <c r="D34" s="16" t="n">
        <v>35</v>
      </c>
      <c r="E34" s="17" t="inlineStr">
        <is>
          <t>拍照-遮光上+Y回零</t>
        </is>
      </c>
      <c r="F34" s="17" t="inlineStr">
        <is>
          <t>无</t>
        </is>
      </c>
      <c r="G34" s="16" t="inlineStr">
        <is>
          <t>待测试</t>
        </is>
      </c>
      <c r="H34" s="17" t="inlineStr"/>
      <c r="I34" s="17" t="inlineStr"/>
    </row>
    <row r="35" ht="22" customHeight="1">
      <c r="A35" s="16" t="n">
        <v>32</v>
      </c>
      <c r="B35" s="16" t="inlineStr">
        <is>
          <t>拍照刮板</t>
        </is>
      </c>
      <c r="C35" s="17" t="inlineStr">
        <is>
          <t>photoscrape.scrape</t>
        </is>
      </c>
      <c r="D35" s="16" t="n">
        <v>40</v>
      </c>
      <c r="E35" s="17" t="inlineStr">
        <is>
          <t>刮取-单pass(g_pass_z由主机预写)</t>
        </is>
      </c>
      <c r="F35" s="17" t="inlineStr">
        <is>
          <t>无</t>
        </is>
      </c>
      <c r="G35" s="16" t="inlineStr">
        <is>
          <t>待测试</t>
        </is>
      </c>
      <c r="H35" s="17" t="inlineStr"/>
      <c r="I35" s="17" t="inlineStr"/>
    </row>
    <row r="36" ht="22" customHeight="1">
      <c r="A36" s="16" t="n">
        <v>33</v>
      </c>
      <c r="B36" s="16" t="inlineStr">
        <is>
          <t>拍照刮板</t>
        </is>
      </c>
      <c r="C36" s="17" t="inlineStr">
        <is>
          <t>photoscrape.scrape_finish</t>
        </is>
      </c>
      <c r="D36" s="16" t="n">
        <v>41</v>
      </c>
      <c r="E36" s="17" t="inlineStr">
        <is>
          <t>刮取-收尾翻料</t>
        </is>
      </c>
      <c r="F36" s="17" t="inlineStr">
        <is>
          <t>无</t>
        </is>
      </c>
      <c r="G36" s="16" t="inlineStr">
        <is>
          <t>待测试</t>
        </is>
      </c>
      <c r="H36" s="17" t="inlineStr"/>
      <c r="I36" s="17" t="inlineStr"/>
    </row>
    <row r="37" ht="22" customHeight="1">
      <c r="A37" s="16" t="n">
        <v>34</v>
      </c>
      <c r="B37" s="16" t="inlineStr">
        <is>
          <t>拍照刮板</t>
        </is>
      </c>
      <c r="C37" s="17" t="inlineStr">
        <is>
          <t>photoscrape.retr_release</t>
        </is>
      </c>
      <c r="D37" s="16" t="n">
        <v>51</v>
      </c>
      <c r="E37" s="17" t="inlineStr">
        <is>
          <t>取料-松下压气缸</t>
        </is>
      </c>
      <c r="F37" s="17" t="inlineStr">
        <is>
          <t>无</t>
        </is>
      </c>
      <c r="G37" s="16" t="inlineStr">
        <is>
          <t>待测试</t>
        </is>
      </c>
      <c r="H37" s="17" t="inlineStr"/>
      <c r="I37" s="17" t="inlineStr"/>
    </row>
    <row r="38" ht="22" customHeight="1">
      <c r="A38" s="16" t="n">
        <v>35</v>
      </c>
      <c r="B38" s="16" t="inlineStr">
        <is>
          <t>拍照刮板</t>
        </is>
      </c>
      <c r="C38" s="17" t="inlineStr">
        <is>
          <t>photoscrape.retr_stoprot</t>
        </is>
      </c>
      <c r="D38" s="16" t="n">
        <v>52</v>
      </c>
      <c r="E38" s="17" t="inlineStr">
        <is>
          <t>取料-停旋转气缸</t>
        </is>
      </c>
      <c r="F38" s="17" t="inlineStr">
        <is>
          <t>无</t>
        </is>
      </c>
      <c r="G38" s="16" t="inlineStr">
        <is>
          <t>待测试</t>
        </is>
      </c>
      <c r="H38" s="17" t="inlineStr"/>
      <c r="I38" s="17" t="inlineStr"/>
    </row>
    <row r="39" ht="22" customHeight="1">
      <c r="A39" s="18" t="n">
        <v>36</v>
      </c>
      <c r="B39" s="18" t="inlineStr">
        <is>
          <t>玻璃上下料</t>
        </is>
      </c>
      <c r="C39" s="19" t="inlineStr">
        <is>
          <t>feedlift.feed_raise</t>
        </is>
      </c>
      <c r="D39" s="18" t="n">
        <v>11</v>
      </c>
      <c r="E39" s="19" t="inlineStr">
        <is>
          <t>上料-升轴至取料光电(无料报错301)</t>
        </is>
      </c>
      <c r="F39" s="19" t="inlineStr">
        <is>
          <t>无</t>
        </is>
      </c>
      <c r="G39" s="18" t="inlineStr">
        <is>
          <t>待测试</t>
        </is>
      </c>
      <c r="H39" s="19" t="inlineStr"/>
      <c r="I39" s="19" t="inlineStr"/>
    </row>
    <row r="40" ht="22" customHeight="1">
      <c r="A40" s="20" t="n">
        <v>37</v>
      </c>
      <c r="B40" s="20" t="inlineStr">
        <is>
          <t>玻璃上下料</t>
        </is>
      </c>
      <c r="C40" s="21" t="inlineStr">
        <is>
          <t>feedlift.feed_lower</t>
        </is>
      </c>
      <c r="D40" s="20" t="n">
        <v>12</v>
      </c>
      <c r="E40" s="21" t="inlineStr">
        <is>
          <t>上料-降轴5mm让位</t>
        </is>
      </c>
      <c r="F40" s="21" t="inlineStr">
        <is>
          <t>无</t>
        </is>
      </c>
      <c r="G40" s="20" t="inlineStr">
        <is>
          <t>待测试</t>
        </is>
      </c>
      <c r="H40" s="21" t="inlineStr"/>
      <c r="I40" s="21" t="inlineStr"/>
    </row>
    <row r="41" ht="22" customHeight="1">
      <c r="A41" s="20" t="n">
        <v>38</v>
      </c>
      <c r="B41" s="20" t="inlineStr">
        <is>
          <t>玻璃上下料</t>
        </is>
      </c>
      <c r="C41" s="21" t="inlineStr">
        <is>
          <t>feedlift.unload_ready</t>
        </is>
      </c>
      <c r="D41" s="20" t="n">
        <v>21</v>
      </c>
      <c r="E41" s="21" t="inlineStr">
        <is>
          <t>下料-到放废料位</t>
        </is>
      </c>
      <c r="F41" s="21" t="inlineStr">
        <is>
          <t>无</t>
        </is>
      </c>
      <c r="G41" s="20" t="inlineStr">
        <is>
          <t>待测试</t>
        </is>
      </c>
      <c r="H41" s="21" t="inlineStr"/>
      <c r="I41" s="21" t="inlineStr"/>
    </row>
    <row r="42" ht="22" customHeight="1">
      <c r="A42" s="20" t="n">
        <v>39</v>
      </c>
      <c r="B42" s="20" t="inlineStr">
        <is>
          <t>玻璃上下料</t>
        </is>
      </c>
      <c r="C42" s="21" t="inlineStr">
        <is>
          <t>feedlift.unload_bury</t>
        </is>
      </c>
      <c r="D42" s="20" t="n">
        <v>22</v>
      </c>
      <c r="E42" s="21" t="inlineStr">
        <is>
          <t>下料-埋料至光电消失(无料报错302)</t>
        </is>
      </c>
      <c r="F42" s="21" t="inlineStr">
        <is>
          <t>无</t>
        </is>
      </c>
      <c r="G42" s="20" t="inlineStr">
        <is>
          <t>待测试</t>
        </is>
      </c>
      <c r="H42" s="21" t="inlineStr"/>
      <c r="I42" s="21" t="inlineStr"/>
    </row>
    <row r="43" ht="22" customHeight="1">
      <c r="A43" s="22" t="n">
        <v>40</v>
      </c>
      <c r="B43" s="22" t="inlineStr">
        <is>
          <t>真空泵</t>
        </is>
      </c>
      <c r="C43" s="23" t="inlineStr">
        <is>
          <t>pump.vacuum_on</t>
        </is>
      </c>
      <c r="D43" s="22" t="n">
        <v>10</v>
      </c>
      <c r="E43" s="23" t="inlineStr">
        <is>
          <t>真空泵-开(置泵槽11)</t>
        </is>
      </c>
      <c r="F43" s="23" t="inlineStr">
        <is>
          <t>无</t>
        </is>
      </c>
      <c r="G43" s="22" t="inlineStr">
        <is>
          <t>待测试</t>
        </is>
      </c>
      <c r="H43" s="23" t="inlineStr"/>
      <c r="I43" s="23" t="inlineStr"/>
    </row>
    <row r="44" ht="22" customHeight="1">
      <c r="A44" s="24" t="n">
        <v>41</v>
      </c>
      <c r="B44" s="24" t="inlineStr">
        <is>
          <t>真空泵</t>
        </is>
      </c>
      <c r="C44" s="25" t="inlineStr">
        <is>
          <t>pump.vacuum_off</t>
        </is>
      </c>
      <c r="D44" s="24" t="n">
        <v>20</v>
      </c>
      <c r="E44" s="25" t="inlineStr">
        <is>
          <t>真空泵-关(清泵槽11)</t>
        </is>
      </c>
      <c r="F44" s="25" t="inlineStr">
        <is>
          <t>无</t>
        </is>
      </c>
      <c r="G44" s="24" t="inlineStr">
        <is>
          <t>待测试</t>
        </is>
      </c>
      <c r="H44" s="25" t="inlineStr"/>
      <c r="I44" s="25" t="inlineStr"/>
    </row>
    <row r="47" ht="26" customHeight="1">
      <c r="A47" s="26" t="inlineStr">
        <is>
          <t>统计汇总</t>
        </is>
      </c>
    </row>
    <row r="48">
      <c r="A48" s="27" t="inlineStr">
        <is>
          <t>待测试</t>
        </is>
      </c>
      <c r="B48" s="27">
        <f>COUNTIF(G4:G44,"待测试")</f>
        <v/>
      </c>
      <c r="C48" s="28">
        <f>"测试通过率: "&amp;TEXT(IF(B53&gt;0, B49/B53, 0),"0.0%")&amp;"  ("&amp;B49&amp;"/"&amp;B53&amp;")"</f>
        <v/>
      </c>
    </row>
    <row r="49">
      <c r="A49" s="27" t="inlineStr">
        <is>
          <t>通过</t>
        </is>
      </c>
      <c r="B49" s="27">
        <f>COUNTIF(G4:G44,"通过")</f>
        <v/>
      </c>
      <c r="C49" s="29">
        <f>"测试完成率: "&amp;TEXT(IF(B53&gt;0, (B49+B50+B52)/B53, 0),"0.0%")</f>
        <v/>
      </c>
    </row>
    <row r="50">
      <c r="A50" s="27" t="inlineStr">
        <is>
          <t>失败</t>
        </is>
      </c>
      <c r="B50" s="27">
        <f>COUNTIF(G4:G44,"失败")</f>
        <v/>
      </c>
      <c r="C50" s="29">
        <f>"失败率: "&amp;TEXT(IF(B53&gt;0, B50/B53,0),"0.0%")</f>
        <v/>
      </c>
    </row>
    <row r="51">
      <c r="A51" s="27" t="inlineStr">
        <is>
          <t>跳过</t>
        </is>
      </c>
      <c r="B51" s="27">
        <f>COUNTIF(G4:G44,"跳过")</f>
        <v/>
      </c>
      <c r="C51" s="29" t="inlineStr"/>
    </row>
    <row r="52">
      <c r="A52" s="27" t="inlineStr">
        <is>
          <t>部分通过</t>
        </is>
      </c>
      <c r="B52" s="27">
        <f>COUNTIF(G4:G44,"部分通过")</f>
        <v/>
      </c>
      <c r="C52" s="29" t="inlineStr"/>
    </row>
    <row r="53">
      <c r="A53" s="27" t="inlineStr">
        <is>
          <t>合计</t>
        </is>
      </c>
      <c r="B53" s="27">
        <f>SUM(B48:B52)</f>
        <v/>
      </c>
      <c r="C53" s="29" t="inlineStr"/>
    </row>
    <row r="56">
      <c r="A56" s="30" t="inlineStr">
        <is>
          <t>工位颜色图例:</t>
        </is>
      </c>
    </row>
    <row r="57">
      <c r="A57" s="31" t="inlineStr">
        <is>
          <t>上样点样</t>
        </is>
      </c>
      <c r="C57" s="32" t="inlineStr">
        <is>
          <t>收集</t>
        </is>
      </c>
      <c r="E57" s="33" t="inlineStr">
        <is>
          <t>展缸</t>
        </is>
      </c>
      <c r="G57" s="34" t="inlineStr">
        <is>
          <t>拍照刮板</t>
        </is>
      </c>
      <c r="I57" s="35" t="inlineStr">
        <is>
          <t>玻璃上下料</t>
        </is>
      </c>
      <c r="K57" s="36" t="inlineStr">
        <is>
          <t>真空泵</t>
        </is>
      </c>
    </row>
  </sheetData>
  <autoFilter ref="A3:I44"/>
  <mergeCells count="10">
    <mergeCell ref="C50:I50"/>
    <mergeCell ref="C53:I53"/>
    <mergeCell ref="A2:I2"/>
    <mergeCell ref="C52:I52"/>
    <mergeCell ref="C48:I48"/>
    <mergeCell ref="A47:I47"/>
    <mergeCell ref="C49:I49"/>
    <mergeCell ref="A1:I1"/>
    <mergeCell ref="A56:I56"/>
    <mergeCell ref="C51:I51"/>
  </mergeCells>
  <dataValidations count="1">
    <dataValidation sqref="G4:G44" showDropDown="0" showInputMessage="0" showErrorMessage="0" allowBlank="1" errorTitle="无效状态" error="请选择: 待测试/通过/失败/跳过/部分通过" type="list">
      <formula1>"待测试,通过,失败,跳过,部分通过"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2026-07-21T13:53:18Z</dcterms:created>
  <dcterms:modified xmlns:dcterms="http://purl.org/dc/terms/" xmlns:xsi="http://www.w3.org/2001/XMLSchema-instance" xsi:type="dcterms:W3CDTF">2026-07-21T13:53:18Z</dcterms:modified>
</cp:coreProperties>
</file>